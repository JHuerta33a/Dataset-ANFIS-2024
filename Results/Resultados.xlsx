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huerta/Documents/Maestría/Desarrollo de Tesis/Pruebas ANFIS Jerárquico/"/>
    </mc:Choice>
  </mc:AlternateContent>
  <xr:revisionPtr revIDLastSave="0" documentId="13_ncr:1_{6372F7E6-C434-4548-A68F-E942B4A50460}" xr6:coauthVersionLast="47" xr6:coauthVersionMax="47" xr10:uidLastSave="{00000000-0000-0000-0000-000000000000}"/>
  <bookViews>
    <workbookView xWindow="4180" yWindow="620" windowWidth="28800" windowHeight="18000" xr2:uid="{D62295F0-6F4D-004E-96F4-CC0BFCE8290B}"/>
  </bookViews>
  <sheets>
    <sheet name="Jerárquico" sheetId="1" r:id="rId1"/>
    <sheet name="Norm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2" l="1"/>
  <c r="N21" i="2" s="1"/>
  <c r="P14" i="1"/>
  <c r="P24" i="1" s="1"/>
  <c r="O2" i="2"/>
  <c r="Q2" i="1"/>
  <c r="M2" i="2"/>
  <c r="M11" i="2" s="1"/>
  <c r="O2" i="1"/>
  <c r="N2" i="2"/>
  <c r="P2" i="1"/>
  <c r="Q14" i="1" l="1"/>
  <c r="Q24" i="1" s="1"/>
  <c r="O11" i="2"/>
  <c r="O21" i="2" s="1"/>
  <c r="O14" i="1"/>
  <c r="O24" i="1" s="1"/>
  <c r="M21" i="2"/>
</calcChain>
</file>

<file path=xl/sharedStrings.xml><?xml version="1.0" encoding="utf-8"?>
<sst xmlns="http://schemas.openxmlformats.org/spreadsheetml/2006/main" count="112" uniqueCount="19">
  <si>
    <t>Fold</t>
  </si>
  <si>
    <t>RMSE</t>
  </si>
  <si>
    <t>R²</t>
  </si>
  <si>
    <t>MAE</t>
  </si>
  <si>
    <t>Reglas A</t>
  </si>
  <si>
    <t>Reglas B</t>
  </si>
  <si>
    <t>Reglas Main</t>
  </si>
  <si>
    <t>Reglas</t>
  </si>
  <si>
    <t>RMSE Promedio</t>
  </si>
  <si>
    <t>R² Promedio</t>
  </si>
  <si>
    <t>MAE Promedio</t>
  </si>
  <si>
    <t>Epocas</t>
  </si>
  <si>
    <t>clusterRadius</t>
  </si>
  <si>
    <t>Mejor RMSE Promedio</t>
  </si>
  <si>
    <t>Mejor MAE Promedio</t>
  </si>
  <si>
    <t>Mejor R² Promedio</t>
  </si>
  <si>
    <t>Diferencia</t>
  </si>
  <si>
    <t>Jerárquico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</si>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</sst>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070E-6FFA-8545-9F82-46F32B45E700}">
  <dimension ref="A1:S27"/>
  <sheetViews>
    <sheetView tabSelected="1" zoomScale="96" workbookViewId="0">
      <selection activeCell="O27" sqref="O27"/>
    </sheetView>
  </sheetViews>
  <sheetFormatPr baseColWidth="10" defaultRowHeight="18" x14ac:dyDescent="0.2"/>
  <cols>
    <col min="1" max="6" width="10.83203125" style="1"/>
    <col min="7" max="7" width="14" style="1" customWidth="1"/>
    <col min="8" max="10" width="10.6640625" style="1" customWidth="1"/>
    <col min="11" max="14" width="10.83203125" style="1"/>
    <col min="15" max="19" width="19.6640625" style="1" customWidth="1"/>
    <col min="20" max="16384" width="10.83203125" style="1"/>
  </cols>
  <sheetData>
    <row r="1" spans="1:19" ht="57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11</v>
      </c>
      <c r="L1" s="4" t="s">
        <v>12</v>
      </c>
      <c r="O1" s="2" t="s">
        <v>13</v>
      </c>
      <c r="P1" s="3" t="s">
        <v>15</v>
      </c>
      <c r="Q1" s="4" t="s">
        <v>14</v>
      </c>
      <c r="R1" s="3"/>
      <c r="S1" s="12"/>
    </row>
    <row r="2" spans="1:19" x14ac:dyDescent="0.2">
      <c r="A2" s="5">
        <v>1</v>
      </c>
      <c r="B2" s="1">
        <v>3.3860000000000001</v>
      </c>
      <c r="C2" s="1">
        <v>0.97399999999999998</v>
      </c>
      <c r="D2" s="1">
        <v>1.9941</v>
      </c>
      <c r="E2" s="1">
        <v>6</v>
      </c>
      <c r="F2" s="1">
        <v>22</v>
      </c>
      <c r="G2" s="1">
        <v>3</v>
      </c>
      <c r="H2" s="34">
        <v>3.3714</v>
      </c>
      <c r="I2" s="34">
        <v>0.97450000000000003</v>
      </c>
      <c r="J2" s="34">
        <v>2.0350000000000001</v>
      </c>
      <c r="K2" s="34">
        <v>150</v>
      </c>
      <c r="L2" s="32">
        <v>0.3</v>
      </c>
      <c r="O2" s="20">
        <f>MIN(H2, H7, H14,H21)</f>
        <v>2.5990000000000002</v>
      </c>
      <c r="P2" s="22">
        <f t="shared" ref="P2" si="0">MAX(I2, I7, I14,I21)</f>
        <v>0.9849</v>
      </c>
      <c r="Q2" s="24">
        <f>MIN(J2, J7, J14,J21)</f>
        <v>1.6337999999999999</v>
      </c>
    </row>
    <row r="3" spans="1:19" x14ac:dyDescent="0.2">
      <c r="A3" s="5">
        <v>2</v>
      </c>
      <c r="B3" s="1">
        <v>3.3915999999999999</v>
      </c>
      <c r="C3" s="1">
        <v>0.97440000000000004</v>
      </c>
      <c r="D3" s="1">
        <v>2.1395</v>
      </c>
      <c r="E3" s="1">
        <v>5</v>
      </c>
      <c r="F3" s="1">
        <v>22</v>
      </c>
      <c r="G3" s="1">
        <v>3</v>
      </c>
      <c r="H3" s="34"/>
      <c r="I3" s="34"/>
      <c r="J3" s="34"/>
      <c r="K3" s="34"/>
      <c r="L3" s="32"/>
      <c r="O3" s="20"/>
      <c r="P3" s="22"/>
      <c r="Q3" s="24"/>
    </row>
    <row r="4" spans="1:19" ht="19" thickBot="1" x14ac:dyDescent="0.25">
      <c r="A4" s="6">
        <v>3</v>
      </c>
      <c r="B4" s="7">
        <v>3.3365</v>
      </c>
      <c r="C4" s="7">
        <v>0.97519999999999996</v>
      </c>
      <c r="D4" s="7">
        <v>1.9713000000000001</v>
      </c>
      <c r="E4" s="7">
        <v>6</v>
      </c>
      <c r="F4" s="7">
        <v>23</v>
      </c>
      <c r="G4" s="7">
        <v>3</v>
      </c>
      <c r="H4" s="35"/>
      <c r="I4" s="35"/>
      <c r="J4" s="35"/>
      <c r="K4" s="35"/>
      <c r="L4" s="33"/>
      <c r="O4" s="21"/>
      <c r="P4" s="23"/>
      <c r="Q4" s="25"/>
    </row>
    <row r="5" spans="1:19" ht="19" thickBot="1" x14ac:dyDescent="0.25"/>
    <row r="6" spans="1:19" ht="57" x14ac:dyDescent="0.2">
      <c r="A6" s="2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8</v>
      </c>
      <c r="I6" s="3" t="s">
        <v>9</v>
      </c>
      <c r="J6" s="3" t="s">
        <v>10</v>
      </c>
      <c r="K6" s="3" t="s">
        <v>11</v>
      </c>
      <c r="L6" s="4" t="s">
        <v>12</v>
      </c>
    </row>
    <row r="7" spans="1:19" ht="19" x14ac:dyDescent="0.2">
      <c r="A7" s="5">
        <v>1</v>
      </c>
      <c r="B7" s="1">
        <v>3.9256000000000002</v>
      </c>
      <c r="C7" s="1">
        <v>0.96519999999999995</v>
      </c>
      <c r="D7" s="1">
        <v>2.5689000000000002</v>
      </c>
      <c r="E7" s="1">
        <v>4</v>
      </c>
      <c r="F7" s="1">
        <v>10</v>
      </c>
      <c r="G7" s="1">
        <v>3</v>
      </c>
      <c r="H7" s="34">
        <v>4.0377999999999998</v>
      </c>
      <c r="I7" s="34">
        <v>0.96350000000000002</v>
      </c>
      <c r="J7" s="34">
        <v>2.6379999999999999</v>
      </c>
      <c r="K7" s="34">
        <v>100</v>
      </c>
      <c r="L7" s="32">
        <v>0.5</v>
      </c>
      <c r="R7" s="11"/>
      <c r="S7" s="1" t="s">
        <v>17</v>
      </c>
    </row>
    <row r="8" spans="1:19" ht="19" x14ac:dyDescent="0.2">
      <c r="A8" s="5">
        <v>2</v>
      </c>
      <c r="B8" s="1">
        <v>3.9369000000000001</v>
      </c>
      <c r="C8" s="1">
        <v>0.96579999999999999</v>
      </c>
      <c r="D8" s="1">
        <v>2.5606</v>
      </c>
      <c r="E8" s="1">
        <v>4</v>
      </c>
      <c r="F8" s="1">
        <v>10</v>
      </c>
      <c r="G8" s="1">
        <v>3</v>
      </c>
      <c r="H8" s="34"/>
      <c r="I8" s="34"/>
      <c r="J8" s="34"/>
      <c r="K8" s="34"/>
      <c r="L8" s="32"/>
      <c r="R8" s="13"/>
      <c r="S8" s="1" t="s">
        <v>18</v>
      </c>
    </row>
    <row r="9" spans="1:19" x14ac:dyDescent="0.2">
      <c r="A9" s="5">
        <v>3</v>
      </c>
      <c r="B9" s="1">
        <v>4.2455999999999996</v>
      </c>
      <c r="C9" s="1">
        <v>0.96009999999999995</v>
      </c>
      <c r="D9" s="1">
        <v>2.7791000000000001</v>
      </c>
      <c r="E9" s="1">
        <v>4</v>
      </c>
      <c r="F9" s="1">
        <v>11</v>
      </c>
      <c r="G9" s="1">
        <v>2</v>
      </c>
      <c r="H9" s="34"/>
      <c r="I9" s="34"/>
      <c r="J9" s="34"/>
      <c r="K9" s="34"/>
      <c r="L9" s="32"/>
    </row>
    <row r="10" spans="1:19" x14ac:dyDescent="0.2">
      <c r="A10" s="5">
        <v>4</v>
      </c>
      <c r="B10" s="1">
        <v>3.9904000000000002</v>
      </c>
      <c r="C10" s="1">
        <v>0.96350000000000002</v>
      </c>
      <c r="D10" s="1">
        <v>2.6225999999999998</v>
      </c>
      <c r="E10" s="1">
        <v>4</v>
      </c>
      <c r="F10" s="1">
        <v>11</v>
      </c>
      <c r="G10" s="1">
        <v>2</v>
      </c>
      <c r="H10" s="34"/>
      <c r="I10" s="34"/>
      <c r="J10" s="34"/>
      <c r="K10" s="34"/>
      <c r="L10" s="32"/>
    </row>
    <row r="11" spans="1:19" ht="19" thickBot="1" x14ac:dyDescent="0.25">
      <c r="A11" s="6">
        <v>5</v>
      </c>
      <c r="B11" s="7">
        <v>4.0907</v>
      </c>
      <c r="C11" s="7">
        <v>0.96260000000000001</v>
      </c>
      <c r="D11" s="7">
        <v>2.6589</v>
      </c>
      <c r="E11" s="7">
        <v>4</v>
      </c>
      <c r="F11" s="7">
        <v>11</v>
      </c>
      <c r="G11" s="7">
        <v>2</v>
      </c>
      <c r="H11" s="35"/>
      <c r="I11" s="35"/>
      <c r="J11" s="35"/>
      <c r="K11" s="35"/>
      <c r="L11" s="33"/>
    </row>
    <row r="12" spans="1:19" ht="19" thickBot="1" x14ac:dyDescent="0.25"/>
    <row r="13" spans="1:19" ht="57" x14ac:dyDescent="0.2">
      <c r="A13" s="2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8</v>
      </c>
      <c r="I13" s="3" t="s">
        <v>9</v>
      </c>
      <c r="J13" s="3" t="s">
        <v>10</v>
      </c>
      <c r="K13" s="3" t="s">
        <v>11</v>
      </c>
      <c r="L13" s="4" t="s">
        <v>12</v>
      </c>
      <c r="O13" s="2" t="s">
        <v>13</v>
      </c>
      <c r="P13" s="3" t="s">
        <v>15</v>
      </c>
      <c r="Q13" s="4" t="s">
        <v>14</v>
      </c>
    </row>
    <row r="14" spans="1:19" x14ac:dyDescent="0.2">
      <c r="A14" s="5">
        <v>1</v>
      </c>
      <c r="B14" s="1">
        <v>2.5386000000000002</v>
      </c>
      <c r="C14" s="1">
        <v>0.9849</v>
      </c>
      <c r="D14" s="1">
        <v>1.6202000000000001</v>
      </c>
      <c r="E14" s="1">
        <v>4</v>
      </c>
      <c r="F14" s="1">
        <v>16</v>
      </c>
      <c r="G14" s="1">
        <v>2</v>
      </c>
      <c r="H14" s="36">
        <v>2.5990000000000002</v>
      </c>
      <c r="I14" s="22">
        <v>0.9849</v>
      </c>
      <c r="J14" s="38">
        <v>1.6337999999999999</v>
      </c>
      <c r="K14" s="34">
        <v>150</v>
      </c>
      <c r="L14" s="32">
        <v>0.4</v>
      </c>
      <c r="O14" s="26">
        <f>MIN(O2,Normal!M2)</f>
        <v>2.5990000000000002</v>
      </c>
      <c r="P14" s="28">
        <f>MAX(P2,Normal!N2)</f>
        <v>0.9849</v>
      </c>
      <c r="Q14" s="30">
        <f>MIN(Q2,Normal!O2)</f>
        <v>1.6182000000000001</v>
      </c>
    </row>
    <row r="15" spans="1:19" x14ac:dyDescent="0.2">
      <c r="A15" s="5">
        <v>2</v>
      </c>
      <c r="B15" s="1">
        <v>2.6558000000000002</v>
      </c>
      <c r="C15" s="1">
        <v>0.98470000000000002</v>
      </c>
      <c r="D15" s="1">
        <v>1.6556999999999999</v>
      </c>
      <c r="E15" s="1">
        <v>5</v>
      </c>
      <c r="F15" s="1">
        <v>16</v>
      </c>
      <c r="G15" s="1">
        <v>2</v>
      </c>
      <c r="H15" s="36"/>
      <c r="I15" s="22"/>
      <c r="J15" s="38"/>
      <c r="K15" s="34"/>
      <c r="L15" s="32"/>
      <c r="O15" s="26"/>
      <c r="P15" s="28"/>
      <c r="Q15" s="30"/>
    </row>
    <row r="16" spans="1:19" ht="19" thickBot="1" x14ac:dyDescent="0.25">
      <c r="A16" s="5">
        <v>3</v>
      </c>
      <c r="B16" s="1">
        <v>2.6533000000000002</v>
      </c>
      <c r="C16" s="1">
        <v>0.98440000000000005</v>
      </c>
      <c r="D16" s="1">
        <v>1.6391</v>
      </c>
      <c r="E16" s="1">
        <v>4</v>
      </c>
      <c r="F16" s="1">
        <v>17</v>
      </c>
      <c r="G16" s="1">
        <v>1</v>
      </c>
      <c r="H16" s="36"/>
      <c r="I16" s="22"/>
      <c r="J16" s="38"/>
      <c r="K16" s="34"/>
      <c r="L16" s="32"/>
      <c r="O16" s="27"/>
      <c r="P16" s="29"/>
      <c r="Q16" s="31"/>
    </row>
    <row r="17" spans="1:17" x14ac:dyDescent="0.2">
      <c r="A17" s="5">
        <v>4</v>
      </c>
      <c r="B17" s="1">
        <v>2.5832000000000002</v>
      </c>
      <c r="C17" s="1">
        <v>0.98499999999999999</v>
      </c>
      <c r="D17" s="1">
        <v>1.6096999999999999</v>
      </c>
      <c r="E17" s="1">
        <v>4</v>
      </c>
      <c r="F17" s="1">
        <v>15</v>
      </c>
      <c r="G17" s="1">
        <v>2</v>
      </c>
      <c r="H17" s="36"/>
      <c r="I17" s="22"/>
      <c r="J17" s="38"/>
      <c r="K17" s="34"/>
      <c r="L17" s="32"/>
    </row>
    <row r="18" spans="1:17" ht="19" thickBot="1" x14ac:dyDescent="0.25">
      <c r="A18" s="6">
        <v>5</v>
      </c>
      <c r="B18" s="7">
        <v>2.5638999999999998</v>
      </c>
      <c r="C18" s="7">
        <v>0.98529999999999995</v>
      </c>
      <c r="D18" s="7">
        <v>1.6444000000000001</v>
      </c>
      <c r="E18" s="7">
        <v>4</v>
      </c>
      <c r="F18" s="7">
        <v>14</v>
      </c>
      <c r="G18" s="7">
        <v>2</v>
      </c>
      <c r="H18" s="37"/>
      <c r="I18" s="23"/>
      <c r="J18" s="39"/>
      <c r="K18" s="35"/>
      <c r="L18" s="33"/>
    </row>
    <row r="19" spans="1:17" ht="19" thickBot="1" x14ac:dyDescent="0.25"/>
    <row r="20" spans="1:17" ht="57" x14ac:dyDescent="0.2">
      <c r="A20" s="2" t="s">
        <v>0</v>
      </c>
      <c r="B20" s="3" t="s">
        <v>1</v>
      </c>
      <c r="C20" s="3" t="s">
        <v>2</v>
      </c>
      <c r="D20" s="3" t="s">
        <v>3</v>
      </c>
      <c r="E20" s="3" t="s">
        <v>4</v>
      </c>
      <c r="F20" s="3" t="s">
        <v>5</v>
      </c>
      <c r="G20" s="3" t="s">
        <v>6</v>
      </c>
      <c r="H20" s="3" t="s">
        <v>8</v>
      </c>
      <c r="I20" s="3" t="s">
        <v>9</v>
      </c>
      <c r="J20" s="3" t="s">
        <v>10</v>
      </c>
      <c r="K20" s="3" t="s">
        <v>11</v>
      </c>
      <c r="L20" s="4" t="s">
        <v>12</v>
      </c>
      <c r="O20" s="17" t="s">
        <v>16</v>
      </c>
      <c r="P20" s="18"/>
      <c r="Q20" s="19"/>
    </row>
    <row r="21" spans="1:17" x14ac:dyDescent="0.2">
      <c r="A21" s="5">
        <v>1</v>
      </c>
      <c r="B21" s="1">
        <v>3.5535999999999999</v>
      </c>
      <c r="C21" s="1">
        <v>0.97170000000000001</v>
      </c>
      <c r="D21" s="1">
        <v>2.3216999999999999</v>
      </c>
      <c r="E21" s="1">
        <v>2</v>
      </c>
      <c r="F21" s="1">
        <v>8</v>
      </c>
      <c r="G21" s="1">
        <v>1</v>
      </c>
      <c r="H21" s="34">
        <v>3.5749</v>
      </c>
      <c r="I21" s="34">
        <v>0.97140000000000004</v>
      </c>
      <c r="J21" s="34">
        <v>2.3054999999999999</v>
      </c>
      <c r="K21" s="34">
        <v>150</v>
      </c>
      <c r="L21" s="32">
        <v>0.6</v>
      </c>
      <c r="O21" s="14" t="s">
        <v>13</v>
      </c>
      <c r="P21" s="15" t="s">
        <v>13</v>
      </c>
      <c r="Q21" s="16" t="s">
        <v>13</v>
      </c>
    </row>
    <row r="22" spans="1:17" x14ac:dyDescent="0.2">
      <c r="A22" s="5">
        <v>2</v>
      </c>
      <c r="B22" s="1">
        <v>3.581</v>
      </c>
      <c r="C22" s="1">
        <v>0.97089999999999999</v>
      </c>
      <c r="D22" s="1">
        <v>2.2940999999999998</v>
      </c>
      <c r="E22" s="1">
        <v>2</v>
      </c>
      <c r="F22" s="1">
        <v>8</v>
      </c>
      <c r="G22" s="1">
        <v>1</v>
      </c>
      <c r="H22" s="34"/>
      <c r="I22" s="34"/>
      <c r="J22" s="34"/>
      <c r="K22" s="34"/>
      <c r="L22" s="32"/>
      <c r="O22" s="14"/>
      <c r="P22" s="15"/>
      <c r="Q22" s="16"/>
    </row>
    <row r="23" spans="1:17" x14ac:dyDescent="0.2">
      <c r="A23" s="5">
        <v>3</v>
      </c>
      <c r="B23" s="1">
        <v>3.5977000000000001</v>
      </c>
      <c r="C23" s="1">
        <v>0.97130000000000005</v>
      </c>
      <c r="D23" s="1">
        <v>2.3209</v>
      </c>
      <c r="E23" s="1">
        <v>2</v>
      </c>
      <c r="F23" s="1">
        <v>8</v>
      </c>
      <c r="G23" s="1">
        <v>1</v>
      </c>
      <c r="H23" s="34"/>
      <c r="I23" s="34"/>
      <c r="J23" s="34"/>
      <c r="K23" s="34"/>
      <c r="L23" s="32"/>
      <c r="O23" s="14"/>
      <c r="P23" s="15"/>
      <c r="Q23" s="16"/>
    </row>
    <row r="24" spans="1:17" ht="19" thickBot="1" x14ac:dyDescent="0.25">
      <c r="A24" s="5">
        <v>4</v>
      </c>
      <c r="B24" s="1">
        <v>3.6640000000000001</v>
      </c>
      <c r="C24" s="1">
        <v>0.97030000000000005</v>
      </c>
      <c r="D24" s="1">
        <v>2.3679999999999999</v>
      </c>
      <c r="E24" s="1">
        <v>2</v>
      </c>
      <c r="F24" s="1">
        <v>8</v>
      </c>
      <c r="G24" s="1">
        <v>1</v>
      </c>
      <c r="H24" s="34"/>
      <c r="I24" s="34"/>
      <c r="J24" s="34"/>
      <c r="K24" s="34"/>
      <c r="L24" s="32"/>
      <c r="O24" s="6">
        <f>O2-O14</f>
        <v>0</v>
      </c>
      <c r="P24" s="7">
        <f>P14-P2</f>
        <v>0</v>
      </c>
      <c r="Q24" s="8">
        <f>Q2-Q14</f>
        <v>1.5599999999999836E-2</v>
      </c>
    </row>
    <row r="25" spans="1:17" x14ac:dyDescent="0.2">
      <c r="A25" s="5">
        <v>5</v>
      </c>
      <c r="B25" s="1">
        <v>3.6977000000000002</v>
      </c>
      <c r="C25" s="1">
        <v>0.96950000000000003</v>
      </c>
      <c r="D25" s="1">
        <v>2.3624999999999998</v>
      </c>
      <c r="E25" s="1">
        <v>2</v>
      </c>
      <c r="F25" s="1">
        <v>8</v>
      </c>
      <c r="G25" s="1">
        <v>1</v>
      </c>
      <c r="H25" s="34"/>
      <c r="I25" s="34"/>
      <c r="J25" s="34"/>
      <c r="K25" s="34"/>
      <c r="L25" s="32"/>
    </row>
    <row r="26" spans="1:17" x14ac:dyDescent="0.2">
      <c r="A26" s="5">
        <v>6</v>
      </c>
      <c r="B26" s="1">
        <v>3.5547</v>
      </c>
      <c r="C26" s="1">
        <v>0.97170000000000001</v>
      </c>
      <c r="D26" s="1">
        <v>2.2905000000000002</v>
      </c>
      <c r="E26" s="1">
        <v>2</v>
      </c>
      <c r="F26" s="1">
        <v>8</v>
      </c>
      <c r="G26" s="1">
        <v>1</v>
      </c>
      <c r="H26" s="34"/>
      <c r="I26" s="34"/>
      <c r="J26" s="34"/>
      <c r="K26" s="34"/>
      <c r="L26" s="32"/>
    </row>
    <row r="27" spans="1:17" ht="19" thickBot="1" x14ac:dyDescent="0.25">
      <c r="A27" s="6">
        <v>7</v>
      </c>
      <c r="B27" s="7">
        <v>3.3755999999999999</v>
      </c>
      <c r="C27" s="7">
        <v>0.97409999999999997</v>
      </c>
      <c r="D27" s="7">
        <v>2.1810999999999998</v>
      </c>
      <c r="E27" s="7">
        <v>2</v>
      </c>
      <c r="F27" s="7">
        <v>8</v>
      </c>
      <c r="G27" s="7">
        <v>1</v>
      </c>
      <c r="H27" s="35"/>
      <c r="I27" s="35"/>
      <c r="J27" s="35"/>
      <c r="K27" s="35"/>
      <c r="L27" s="33"/>
    </row>
  </sheetData>
  <mergeCells count="30">
    <mergeCell ref="H2:H4"/>
    <mergeCell ref="I2:I4"/>
    <mergeCell ref="J2:J4"/>
    <mergeCell ref="K2:K4"/>
    <mergeCell ref="L2:L4"/>
    <mergeCell ref="L7:L11"/>
    <mergeCell ref="K21:K27"/>
    <mergeCell ref="H21:H27"/>
    <mergeCell ref="I21:I27"/>
    <mergeCell ref="J21:J27"/>
    <mergeCell ref="L21:L27"/>
    <mergeCell ref="K7:K11"/>
    <mergeCell ref="K14:K18"/>
    <mergeCell ref="L14:L18"/>
    <mergeCell ref="H7:H11"/>
    <mergeCell ref="I7:I11"/>
    <mergeCell ref="J7:J11"/>
    <mergeCell ref="H14:H18"/>
    <mergeCell ref="I14:I18"/>
    <mergeCell ref="J14:J18"/>
    <mergeCell ref="O21:O23"/>
    <mergeCell ref="P21:P23"/>
    <mergeCell ref="Q21:Q23"/>
    <mergeCell ref="O20:Q20"/>
    <mergeCell ref="O2:O4"/>
    <mergeCell ref="P2:P4"/>
    <mergeCell ref="Q2:Q4"/>
    <mergeCell ref="O14:O16"/>
    <mergeCell ref="P14:P16"/>
    <mergeCell ref="Q14:Q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A9BB-8C8B-B94E-80F2-AC1CC689F0D2}">
  <dimension ref="A1:R27"/>
  <sheetViews>
    <sheetView zoomScale="110" workbookViewId="0">
      <selection activeCell="C15" sqref="C15"/>
    </sheetView>
  </sheetViews>
  <sheetFormatPr baseColWidth="10" defaultRowHeight="16" x14ac:dyDescent="0.2"/>
  <cols>
    <col min="1" max="12" width="10.83203125" style="9"/>
    <col min="13" max="15" width="18.33203125" style="9" customWidth="1"/>
    <col min="16" max="16384" width="10.83203125" style="9"/>
  </cols>
  <sheetData>
    <row r="1" spans="1:18" s="1" customFormat="1" ht="57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4" t="s">
        <v>12</v>
      </c>
      <c r="M1" s="2" t="s">
        <v>13</v>
      </c>
      <c r="N1" s="3" t="s">
        <v>15</v>
      </c>
      <c r="O1" s="4" t="s">
        <v>14</v>
      </c>
    </row>
    <row r="2" spans="1:18" s="1" customFormat="1" ht="18" x14ac:dyDescent="0.2">
      <c r="A2" s="5">
        <v>1</v>
      </c>
      <c r="B2" s="1">
        <v>3.4876</v>
      </c>
      <c r="C2" s="1">
        <v>0.97219999999999995</v>
      </c>
      <c r="D2" s="1">
        <v>1.8654999999999999</v>
      </c>
      <c r="E2" s="1">
        <v>65</v>
      </c>
      <c r="F2" s="34">
        <v>3.4617</v>
      </c>
      <c r="G2" s="34">
        <v>0.97309999999999997</v>
      </c>
      <c r="H2" s="34">
        <v>1.8633999999999999</v>
      </c>
      <c r="I2" s="34">
        <v>150</v>
      </c>
      <c r="J2" s="32">
        <v>0.3</v>
      </c>
      <c r="M2" s="20">
        <f>MIN(F2,F11,F18,F25)</f>
        <v>2.9209000000000001</v>
      </c>
      <c r="N2" s="22">
        <f t="shared" ref="N2" si="0">MAX(G2,G11,G18,G25)</f>
        <v>0.98070000000000002</v>
      </c>
      <c r="O2" s="24">
        <f>MIN(H2,H11,H18,H25)</f>
        <v>1.6182000000000001</v>
      </c>
    </row>
    <row r="3" spans="1:18" s="1" customFormat="1" ht="18" x14ac:dyDescent="0.2">
      <c r="A3" s="5">
        <v>2</v>
      </c>
      <c r="B3" s="1">
        <v>3.6206999999999998</v>
      </c>
      <c r="C3" s="1">
        <v>0.97019999999999995</v>
      </c>
      <c r="D3" s="1">
        <v>1.9297</v>
      </c>
      <c r="E3" s="1">
        <v>65</v>
      </c>
      <c r="F3" s="34"/>
      <c r="G3" s="34"/>
      <c r="H3" s="34"/>
      <c r="I3" s="34"/>
      <c r="J3" s="32"/>
      <c r="M3" s="20"/>
      <c r="N3" s="22"/>
      <c r="O3" s="24"/>
    </row>
    <row r="4" spans="1:18" s="1" customFormat="1" ht="19" thickBot="1" x14ac:dyDescent="0.25">
      <c r="A4" s="5">
        <v>3</v>
      </c>
      <c r="B4" s="1">
        <v>3.4557000000000002</v>
      </c>
      <c r="C4" s="1">
        <v>0.97289999999999999</v>
      </c>
      <c r="D4" s="1">
        <v>1.8734999999999999</v>
      </c>
      <c r="E4" s="1">
        <v>66</v>
      </c>
      <c r="F4" s="34"/>
      <c r="G4" s="34"/>
      <c r="H4" s="34"/>
      <c r="I4" s="34"/>
      <c r="J4" s="32"/>
      <c r="M4" s="21"/>
      <c r="N4" s="23"/>
      <c r="O4" s="25"/>
    </row>
    <row r="5" spans="1:18" s="1" customFormat="1" ht="18" x14ac:dyDescent="0.2">
      <c r="A5" s="5">
        <v>4</v>
      </c>
      <c r="B5" s="1">
        <v>3.4135</v>
      </c>
      <c r="C5" s="1">
        <v>0.97409999999999997</v>
      </c>
      <c r="D5" s="1">
        <v>1.8511</v>
      </c>
      <c r="E5" s="1">
        <v>62</v>
      </c>
      <c r="F5" s="34"/>
      <c r="G5" s="34"/>
      <c r="H5" s="34"/>
      <c r="I5" s="34"/>
      <c r="J5" s="32"/>
    </row>
    <row r="6" spans="1:18" s="1" customFormat="1" ht="19" x14ac:dyDescent="0.2">
      <c r="A6" s="5">
        <v>5</v>
      </c>
      <c r="B6" s="1">
        <v>3.5350000000000001</v>
      </c>
      <c r="C6" s="1">
        <v>0.97189999999999999</v>
      </c>
      <c r="D6" s="1">
        <v>1.9097999999999999</v>
      </c>
      <c r="E6" s="1">
        <v>64</v>
      </c>
      <c r="F6" s="34"/>
      <c r="G6" s="34"/>
      <c r="H6" s="34"/>
      <c r="I6" s="34"/>
      <c r="J6" s="32"/>
      <c r="Q6" s="11"/>
      <c r="R6" s="1" t="s">
        <v>17</v>
      </c>
    </row>
    <row r="7" spans="1:18" s="1" customFormat="1" ht="19" x14ac:dyDescent="0.2">
      <c r="A7" s="5">
        <v>6</v>
      </c>
      <c r="B7" s="1">
        <v>3.3719000000000001</v>
      </c>
      <c r="C7" s="1">
        <v>0.97499999999999998</v>
      </c>
      <c r="D7" s="1">
        <v>1.8483000000000001</v>
      </c>
      <c r="E7" s="1">
        <v>66</v>
      </c>
      <c r="F7" s="34"/>
      <c r="G7" s="34"/>
      <c r="H7" s="34"/>
      <c r="I7" s="34"/>
      <c r="J7" s="32"/>
      <c r="Q7" s="13"/>
      <c r="R7" s="1" t="s">
        <v>18</v>
      </c>
    </row>
    <row r="8" spans="1:18" s="1" customFormat="1" ht="19" thickBot="1" x14ac:dyDescent="0.25">
      <c r="A8" s="6">
        <v>7</v>
      </c>
      <c r="B8" s="7">
        <v>3.3479000000000001</v>
      </c>
      <c r="C8" s="7">
        <v>0.97560000000000002</v>
      </c>
      <c r="D8" s="7">
        <v>1.7662</v>
      </c>
      <c r="E8" s="7">
        <v>68</v>
      </c>
      <c r="F8" s="35"/>
      <c r="G8" s="35"/>
      <c r="H8" s="35"/>
      <c r="I8" s="35"/>
      <c r="J8" s="33"/>
    </row>
    <row r="9" spans="1:18" ht="17" thickBot="1" x14ac:dyDescent="0.25"/>
    <row r="10" spans="1:18" s="1" customFormat="1" ht="57" x14ac:dyDescent="0.2">
      <c r="A10" s="2" t="s">
        <v>0</v>
      </c>
      <c r="B10" s="3" t="s">
        <v>1</v>
      </c>
      <c r="C10" s="3" t="s">
        <v>2</v>
      </c>
      <c r="D10" s="3" t="s">
        <v>3</v>
      </c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  <c r="J10" s="4" t="s">
        <v>12</v>
      </c>
      <c r="M10" s="2" t="s">
        <v>13</v>
      </c>
      <c r="N10" s="3" t="s">
        <v>15</v>
      </c>
      <c r="O10" s="4" t="s">
        <v>14</v>
      </c>
    </row>
    <row r="11" spans="1:18" ht="18" x14ac:dyDescent="0.2">
      <c r="A11" s="5">
        <v>1</v>
      </c>
      <c r="B11" s="9">
        <v>3.4765000000000001</v>
      </c>
      <c r="C11" s="9">
        <v>0.97340000000000004</v>
      </c>
      <c r="D11" s="9">
        <v>1.9112</v>
      </c>
      <c r="E11" s="9">
        <v>33</v>
      </c>
      <c r="F11" s="40">
        <v>3.4733999999999998</v>
      </c>
      <c r="G11" s="40">
        <v>0.97289999999999999</v>
      </c>
      <c r="H11" s="40">
        <v>1.9266000000000001</v>
      </c>
      <c r="I11" s="40">
        <v>150</v>
      </c>
      <c r="J11" s="42">
        <v>0.4</v>
      </c>
      <c r="M11" s="26">
        <f>MIN(M2,Jerárquico!O2)</f>
        <v>2.5990000000000002</v>
      </c>
      <c r="N11" s="28">
        <f>MAX(N2,Jerárquico!P2)</f>
        <v>0.9849</v>
      </c>
      <c r="O11" s="30">
        <f>MIN(O2,Jerárquico!Q2)</f>
        <v>1.6182000000000001</v>
      </c>
    </row>
    <row r="12" spans="1:18" ht="18" x14ac:dyDescent="0.2">
      <c r="A12" s="5">
        <v>2</v>
      </c>
      <c r="B12" s="9">
        <v>3.4096000000000002</v>
      </c>
      <c r="C12" s="9">
        <v>0.97440000000000004</v>
      </c>
      <c r="D12" s="9">
        <v>1.8109999999999999</v>
      </c>
      <c r="E12" s="9">
        <v>33</v>
      </c>
      <c r="F12" s="40"/>
      <c r="G12" s="40"/>
      <c r="H12" s="40"/>
      <c r="I12" s="40"/>
      <c r="J12" s="42"/>
      <c r="M12" s="26"/>
      <c r="N12" s="28"/>
      <c r="O12" s="30"/>
    </row>
    <row r="13" spans="1:18" ht="19" thickBot="1" x14ac:dyDescent="0.25">
      <c r="A13" s="5">
        <v>3</v>
      </c>
      <c r="B13" s="9">
        <v>3.4626999999999999</v>
      </c>
      <c r="C13" s="9">
        <v>0.97289999999999999</v>
      </c>
      <c r="D13" s="9">
        <v>1.9451000000000001</v>
      </c>
      <c r="E13" s="9">
        <v>32</v>
      </c>
      <c r="F13" s="40"/>
      <c r="G13" s="40"/>
      <c r="H13" s="40"/>
      <c r="I13" s="40"/>
      <c r="J13" s="42"/>
      <c r="M13" s="27"/>
      <c r="N13" s="29"/>
      <c r="O13" s="31"/>
    </row>
    <row r="14" spans="1:18" ht="18" x14ac:dyDescent="0.2">
      <c r="A14" s="5">
        <v>4</v>
      </c>
      <c r="B14" s="9">
        <v>3.3908</v>
      </c>
      <c r="C14" s="9">
        <v>0.97409999999999997</v>
      </c>
      <c r="D14" s="9">
        <v>1.8868</v>
      </c>
      <c r="E14" s="9">
        <v>32</v>
      </c>
      <c r="F14" s="40"/>
      <c r="G14" s="40"/>
      <c r="H14" s="40"/>
      <c r="I14" s="40"/>
      <c r="J14" s="42"/>
    </row>
    <row r="15" spans="1:18" ht="19" thickBot="1" x14ac:dyDescent="0.25">
      <c r="A15" s="6">
        <v>5</v>
      </c>
      <c r="B15" s="10">
        <v>3.6276000000000002</v>
      </c>
      <c r="C15" s="10">
        <v>0.97</v>
      </c>
      <c r="D15" s="10">
        <v>2.0788000000000002</v>
      </c>
      <c r="E15" s="10">
        <v>34</v>
      </c>
      <c r="F15" s="41"/>
      <c r="G15" s="41"/>
      <c r="H15" s="41"/>
      <c r="I15" s="41"/>
      <c r="J15" s="43"/>
    </row>
    <row r="16" spans="1:18" ht="17" thickBot="1" x14ac:dyDescent="0.25"/>
    <row r="17" spans="1:15" ht="57" x14ac:dyDescent="0.2">
      <c r="A17" s="2" t="s">
        <v>0</v>
      </c>
      <c r="B17" s="3" t="s">
        <v>1</v>
      </c>
      <c r="C17" s="3" t="s">
        <v>2</v>
      </c>
      <c r="D17" s="3" t="s">
        <v>3</v>
      </c>
      <c r="E17" s="3" t="s">
        <v>7</v>
      </c>
      <c r="F17" s="3" t="s">
        <v>8</v>
      </c>
      <c r="G17" s="3" t="s">
        <v>9</v>
      </c>
      <c r="H17" s="3" t="s">
        <v>10</v>
      </c>
      <c r="I17" s="3" t="s">
        <v>11</v>
      </c>
      <c r="J17" s="4" t="s">
        <v>12</v>
      </c>
      <c r="M17" s="17" t="s">
        <v>16</v>
      </c>
      <c r="N17" s="18"/>
      <c r="O17" s="19"/>
    </row>
    <row r="18" spans="1:15" ht="18" x14ac:dyDescent="0.2">
      <c r="A18" s="5">
        <v>1</v>
      </c>
      <c r="B18" s="1">
        <v>2.746</v>
      </c>
      <c r="C18" s="1">
        <v>0.98309999999999997</v>
      </c>
      <c r="D18" s="1">
        <v>1.5202</v>
      </c>
      <c r="E18" s="1">
        <v>21</v>
      </c>
      <c r="F18" s="36">
        <v>2.9209000000000001</v>
      </c>
      <c r="G18" s="22">
        <v>0.98070000000000002</v>
      </c>
      <c r="H18" s="38">
        <v>1.6182000000000001</v>
      </c>
      <c r="I18" s="34">
        <v>100</v>
      </c>
      <c r="J18" s="32">
        <v>0.5</v>
      </c>
      <c r="M18" s="14" t="s">
        <v>13</v>
      </c>
      <c r="N18" s="15" t="s">
        <v>13</v>
      </c>
      <c r="O18" s="16" t="s">
        <v>13</v>
      </c>
    </row>
    <row r="19" spans="1:15" ht="18" x14ac:dyDescent="0.2">
      <c r="A19" s="5">
        <v>2</v>
      </c>
      <c r="B19" s="1">
        <v>2.6747000000000001</v>
      </c>
      <c r="C19" s="1">
        <v>0.9839</v>
      </c>
      <c r="D19" s="1">
        <v>1.4387000000000001</v>
      </c>
      <c r="E19" s="1">
        <v>23</v>
      </c>
      <c r="F19" s="36"/>
      <c r="G19" s="22"/>
      <c r="H19" s="38"/>
      <c r="I19" s="34"/>
      <c r="J19" s="32"/>
      <c r="M19" s="14"/>
      <c r="N19" s="15"/>
      <c r="O19" s="16"/>
    </row>
    <row r="20" spans="1:15" ht="18" x14ac:dyDescent="0.2">
      <c r="A20" s="5">
        <v>3</v>
      </c>
      <c r="B20" s="1">
        <v>2.7953999999999999</v>
      </c>
      <c r="C20" s="1">
        <v>0.98280000000000001</v>
      </c>
      <c r="D20" s="1">
        <v>1.5805</v>
      </c>
      <c r="E20" s="1">
        <v>21</v>
      </c>
      <c r="F20" s="36"/>
      <c r="G20" s="22"/>
      <c r="H20" s="38"/>
      <c r="I20" s="34"/>
      <c r="J20" s="32"/>
      <c r="M20" s="14"/>
      <c r="N20" s="15"/>
      <c r="O20" s="16"/>
    </row>
    <row r="21" spans="1:15" ht="19" thickBot="1" x14ac:dyDescent="0.25">
      <c r="A21" s="5">
        <v>4</v>
      </c>
      <c r="B21" s="1">
        <v>3.085</v>
      </c>
      <c r="C21" s="1">
        <v>0.97889999999999999</v>
      </c>
      <c r="D21" s="1">
        <v>1.7012</v>
      </c>
      <c r="E21" s="1">
        <v>23</v>
      </c>
      <c r="F21" s="36"/>
      <c r="G21" s="22"/>
      <c r="H21" s="38"/>
      <c r="I21" s="34"/>
      <c r="J21" s="32"/>
      <c r="M21" s="6">
        <f>M2-M11</f>
        <v>0.32189999999999985</v>
      </c>
      <c r="N21" s="7">
        <f>N11-N2</f>
        <v>4.1999999999999815E-3</v>
      </c>
      <c r="O21" s="8">
        <f>O2-O11</f>
        <v>0</v>
      </c>
    </row>
    <row r="22" spans="1:15" ht="19" thickBot="1" x14ac:dyDescent="0.25">
      <c r="A22" s="6">
        <v>5</v>
      </c>
      <c r="B22" s="7">
        <v>3.3035000000000001</v>
      </c>
      <c r="C22" s="7">
        <v>0.97509999999999997</v>
      </c>
      <c r="D22" s="7">
        <v>1.8504</v>
      </c>
      <c r="E22" s="7">
        <v>22</v>
      </c>
      <c r="F22" s="37"/>
      <c r="G22" s="23"/>
      <c r="H22" s="39"/>
      <c r="I22" s="35"/>
      <c r="J22" s="33"/>
    </row>
    <row r="23" spans="1:15" ht="17" thickBot="1" x14ac:dyDescent="0.25"/>
    <row r="24" spans="1:15" ht="57" x14ac:dyDescent="0.2">
      <c r="A24" s="2" t="s">
        <v>0</v>
      </c>
      <c r="B24" s="3" t="s">
        <v>1</v>
      </c>
      <c r="C24" s="3" t="s">
        <v>2</v>
      </c>
      <c r="D24" s="3" t="s">
        <v>3</v>
      </c>
      <c r="E24" s="3" t="s">
        <v>7</v>
      </c>
      <c r="F24" s="3" t="s">
        <v>8</v>
      </c>
      <c r="G24" s="3" t="s">
        <v>9</v>
      </c>
      <c r="H24" s="3" t="s">
        <v>10</v>
      </c>
      <c r="I24" s="3" t="s">
        <v>11</v>
      </c>
      <c r="J24" s="4" t="s">
        <v>12</v>
      </c>
    </row>
    <row r="25" spans="1:15" ht="18" x14ac:dyDescent="0.2">
      <c r="A25" s="5">
        <v>1</v>
      </c>
      <c r="B25" s="1">
        <v>3.8052000000000001</v>
      </c>
      <c r="C25" s="1">
        <v>0.96809999999999996</v>
      </c>
      <c r="D25" s="1">
        <v>2.2084000000000001</v>
      </c>
      <c r="E25" s="1">
        <v>8</v>
      </c>
      <c r="F25" s="34">
        <v>3.5146000000000002</v>
      </c>
      <c r="G25" s="34">
        <v>0.97219999999999995</v>
      </c>
      <c r="H25" s="34">
        <v>2.0339</v>
      </c>
      <c r="I25" s="34">
        <v>100</v>
      </c>
      <c r="J25" s="32">
        <v>0.7</v>
      </c>
    </row>
    <row r="26" spans="1:15" ht="18" x14ac:dyDescent="0.2">
      <c r="A26" s="5">
        <v>2</v>
      </c>
      <c r="B26" s="1">
        <v>3.7065999999999999</v>
      </c>
      <c r="C26" s="1">
        <v>0.96960000000000002</v>
      </c>
      <c r="D26" s="1">
        <v>2.0935000000000001</v>
      </c>
      <c r="E26" s="1">
        <v>10</v>
      </c>
      <c r="F26" s="34"/>
      <c r="G26" s="34"/>
      <c r="H26" s="34"/>
      <c r="I26" s="34"/>
      <c r="J26" s="32"/>
    </row>
    <row r="27" spans="1:15" ht="19" thickBot="1" x14ac:dyDescent="0.25">
      <c r="A27" s="6">
        <v>3</v>
      </c>
      <c r="B27" s="7">
        <v>3.0320999999999998</v>
      </c>
      <c r="C27" s="7">
        <v>0.9788</v>
      </c>
      <c r="D27" s="7">
        <v>1.7997000000000001</v>
      </c>
      <c r="E27" s="7">
        <v>9</v>
      </c>
      <c r="F27" s="35"/>
      <c r="G27" s="35"/>
      <c r="H27" s="35"/>
      <c r="I27" s="35"/>
      <c r="J27" s="33"/>
    </row>
  </sheetData>
  <mergeCells count="30">
    <mergeCell ref="F11:F15"/>
    <mergeCell ref="G11:G15"/>
    <mergeCell ref="H11:H15"/>
    <mergeCell ref="I11:I15"/>
    <mergeCell ref="J11:J15"/>
    <mergeCell ref="G2:G8"/>
    <mergeCell ref="H2:H8"/>
    <mergeCell ref="I2:I8"/>
    <mergeCell ref="J2:J8"/>
    <mergeCell ref="F2:F8"/>
    <mergeCell ref="J18:J22"/>
    <mergeCell ref="I18:I22"/>
    <mergeCell ref="F25:F27"/>
    <mergeCell ref="G25:G27"/>
    <mergeCell ref="H25:H27"/>
    <mergeCell ref="I25:I27"/>
    <mergeCell ref="J25:J27"/>
    <mergeCell ref="F18:F22"/>
    <mergeCell ref="G18:G22"/>
    <mergeCell ref="H18:H22"/>
    <mergeCell ref="M17:O17"/>
    <mergeCell ref="M18:M20"/>
    <mergeCell ref="N18:N20"/>
    <mergeCell ref="O18:O20"/>
    <mergeCell ref="M2:M4"/>
    <mergeCell ref="N2:N4"/>
    <mergeCell ref="O2:O4"/>
    <mergeCell ref="M11:M13"/>
    <mergeCell ref="N11:N13"/>
    <mergeCell ref="O11:O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Jerárquico</vt:lpstr>
      <vt:lpstr>Normal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2025-06-23T09:43:55Z</dcterms:created>
  <dcterms:modified xsi:type="dcterms:W3CDTF">2025-09-18T21:42:59Z</dcterms:modified>
</cp:coreProperties>
</file>